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28d9487c07f4b4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業務總覽" sheetId="1" r:id="Rea827455ff904f68"/>
    <x:sheet xmlns:r="http://schemas.openxmlformats.org/officeDocument/2006/relationships" name="商品銷售" sheetId="2" r:id="R33001863efc14b24"/>
    <x:sheet xmlns:r="http://schemas.openxmlformats.org/officeDocument/2006/relationships" name="數位成效" sheetId="3" r:id="R36a544c2a67940ec"/>
    <x:sheet xmlns:r="http://schemas.openxmlformats.org/officeDocument/2006/relationships" name="資料來源與待確認" sheetId="4" r:id="R08f4627be68f47e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#,##0"/>
    <x:numFmt numFmtId="201" formatCode="#,##0&quot; 元&quot;"/>
    <x:numFmt numFmtId="202" formatCode="0.0%"/>
  </x:numFmts>
  <x:fonts count="13">
    <x:font>
      <x:sz val="11"/>
      <x:name val="Carlito"/>
    </x:font>
    <x:font>
      <x:b/>
      <x:sz val="20"/>
      <x:color rgb="FFFFFFFF"/>
      <x:name val="Carlito"/>
    </x:font>
    <x:font>
      <x:b/>
      <x:sz val="11"/>
      <x:color rgb="FFFFFFFF"/>
      <x:name val="Carlito"/>
    </x:font>
    <x:font>
      <x:b/>
      <x:sz val="11"/>
      <x:color rgb="FF24573A"/>
      <x:name val="Carlito"/>
    </x:font>
    <x:font>
      <x:b/>
      <x:sz val="12"/>
      <x:color rgb="FFFFFFFF"/>
      <x:name val="Carlito"/>
    </x:font>
    <x:font>
      <x:sz val="11"/>
      <x:color rgb="FF5B665E"/>
      <x:name val="Carlito"/>
    </x:font>
    <x:font>
      <x:b/>
      <x:sz val="18"/>
      <x:color rgb="FF24573A"/>
      <x:name val="Carlito"/>
    </x:font>
    <x:font>
      <x:b/>
      <x:sz val="11"/>
      <x:color rgb="FFC94A3F"/>
      <x:name val="Carlito"/>
    </x:font>
    <x:font>
      <x:b/>
      <x:sz val="10"/>
      <x:color rgb="FF24573A"/>
      <x:name val="Microsoft JhengHei"/>
    </x:font>
    <x:font>
      <x:sz val="10"/>
      <x:color rgb="FF24573A"/>
      <x:name val="Microsoft JhengHei"/>
    </x:font>
    <x:font>
      <x:b/>
      <x:sz val="20"/>
      <x:color rgb="FFFFFFFF"/>
      <x:name val="Microsoft JhengHei"/>
    </x:font>
    <x:font>
      <x:b/>
      <x:sz val="12"/>
      <x:color rgb="FFFFFFFF"/>
      <x:name val="Microsoft JhengHei"/>
    </x:font>
    <x:font>
      <x:b/>
      <x:sz val="10"/>
      <x:color rgb="FFFFFFFF"/>
      <x:name val="Microsoft JhengHei"/>
    </x:font>
  </x:fonts>
  <x:fills count="7">
    <x:fill>
      <x:patternFill patternType="none"/>
    </x:fill>
    <x:fill>
      <x:patternFill patternType="gray125"/>
    </x:fill>
    <x:fill>
      <x:patternFill patternType="solid">
        <x:fgColor rgb="FF24573A"/>
      </x:patternFill>
    </x:fill>
    <x:fill>
      <x:patternFill patternType="solid">
        <x:fgColor rgb="FFEAF4E2"/>
      </x:patternFill>
    </x:fill>
    <x:fill>
      <x:patternFill patternType="solid">
        <x:fgColor rgb="FF6FA84F"/>
      </x:patternFill>
    </x:fill>
    <x:fill>
      <x:patternFill patternType="solid">
        <x:fgColor rgb="FFFFF8E8"/>
      </x:patternFill>
    </x:fill>
    <x:fill>
      <x:patternFill patternType="solid">
        <x:fgColor rgb="FFFDE8E5"/>
      </x:patternFill>
    </x:fill>
  </x:fills>
  <x:borders count="9">
    <x:border/>
    <x:border>
      <x:bottom style="double">
        <x:color rgb="FF24573A"/>
      </x:bottom>
    </x:border>
    <x:border>
      <x:bottom style="thin">
        <x:color rgb="FFD7DED4"/>
      </x:bottom>
    </x:border>
    <x:border>
      <x:top style="thin">
        <x:color rgb="FFD7DED4"/>
      </x:top>
      <x:bottom style="thin">
        <x:color rgb="FFD7DED4"/>
      </x:bottom>
    </x:border>
    <x:border>
      <x:left style="thin">
        <x:color rgb="FFD7DED4"/>
      </x:left>
      <x:top style="thin">
        <x:color rgb="FFD7DED4"/>
      </x:top>
    </x:border>
    <x:border>
      <x:top style="thin">
        <x:color rgb="FFD7DED4"/>
      </x:top>
    </x:border>
    <x:border>
      <x:right style="thin">
        <x:color rgb="FFD7DED4"/>
      </x:right>
      <x:top style="thin">
        <x:color rgb="FFD7DED4"/>
      </x:top>
    </x:border>
    <x:border>
      <x:left style="thin">
        <x:color rgb="FFD7DED4"/>
      </x:left>
      <x:bottom style="thin">
        <x:color rgb="FFD7DED4"/>
      </x:bottom>
    </x:border>
    <x:border>
      <x:right style="thin">
        <x:color rgb="FFD7DED4"/>
      </x:right>
      <x:bottom style="thin">
        <x:color rgb="FFD7DED4"/>
      </x:bottom>
    </x:border>
  </x:borders>
  <x:cellStyleXfs count="1">
    <x:xf numFmtId="0" fontId="0" fillId="0" borderId="0"/>
  </x:cellStyleXfs>
  <x:cellXfs count="122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wrapText="1"/>
    </x:xf>
    <x:xf numFmtId="0" fontId="2" fillId="2" borderId="0" xfId="0" applyNumberFormat="1" applyFont="1" applyFill="1" applyBorder="1" applyAlignment="1">
      <x:alignment horizontal="center" wrapText="1"/>
    </x:xf>
    <x:xf numFmtId="0" fontId="2" fillId="2" borderId="0" xfId="0" applyNumberFormat="1" applyFont="1" applyFill="1" applyBorder="1" applyAlignment="1">
      <x:alignment horizontal="center" vertical="center" wrapText="1"/>
    </x:xf>
    <x:xf numFmtId="0" fontId="0" fillId="3" borderId="0" xfId="0" applyNumberFormat="1" applyFont="1" applyFill="1" applyBorder="1"/>
    <x:xf numFmtId="0" fontId="3" fillId="3" borderId="0" xfId="0" applyNumberFormat="1" applyFont="1" applyFill="1" applyBorder="1"/>
    <x:xf numFmtId="0" fontId="3" fillId="3" borderId="1" xfId="0" applyNumberFormat="1" applyFont="1" applyFill="1" applyBorder="1"/>
    <x:xf numFmtId="200" fontId="0" fillId="0" borderId="0" xfId="0" applyNumberFormat="1" applyFont="1" applyFill="1" applyBorder="1"/>
    <x:xf numFmtId="200" fontId="3" fillId="3" borderId="1" xfId="0" applyNumberFormat="1" applyFont="1" applyFill="1" applyBorder="1"/>
    <x:xf numFmtId="201" fontId="0" fillId="0" borderId="0" xfId="0" applyNumberFormat="1" applyFont="1" applyFill="1" applyBorder="1"/>
    <x:xf numFmtId="201" fontId="3" fillId="3" borderId="1" xfId="0" applyNumberFormat="1" applyFont="1" applyFill="1" applyBorder="1"/>
    <x:xf numFmtId="202" fontId="0" fillId="0" borderId="0" xfId="0" applyNumberFormat="1" applyFont="1" applyFill="1" applyBorder="1"/>
    <x:xf numFmtId="202" fontId="3" fillId="3" borderId="1" xfId="0" applyNumberFormat="1" applyFont="1" applyFill="1" applyBorder="1"/>
    <x:xf numFmtId="0" fontId="2" fillId="2" borderId="2" xfId="0" applyNumberFormat="1" applyFont="1" applyFill="1" applyBorder="1" applyAlignment="1">
      <x:alignment horizontal="center" vertical="center" wrapText="1"/>
    </x:xf>
    <x:xf numFmtId="0" fontId="0" fillId="0" borderId="3" xfId="0" applyNumberFormat="1" applyFont="1" applyFill="1" applyBorder="1"/>
    <x:xf numFmtId="200" fontId="0" fillId="0" borderId="3" xfId="0" applyNumberFormat="1" applyFont="1" applyFill="1" applyBorder="1"/>
    <x:xf numFmtId="201" fontId="0" fillId="0" borderId="3" xfId="0" applyNumberFormat="1" applyFont="1" applyFill="1" applyBorder="1"/>
    <x:xf numFmtId="202" fontId="0" fillId="0" borderId="3" xfId="0" applyNumberFormat="1" applyFont="1" applyFill="1" applyBorder="1"/>
    <x:xf numFmtId="0" fontId="3" fillId="3" borderId="3" xfId="0" applyNumberFormat="1" applyFont="1" applyFill="1" applyBorder="1"/>
    <x:xf numFmtId="200" fontId="3" fillId="3" borderId="3" xfId="0" applyNumberFormat="1" applyFont="1" applyFill="1" applyBorder="1"/>
    <x:xf numFmtId="201" fontId="3" fillId="3" borderId="3" xfId="0" applyNumberFormat="1" applyFont="1" applyFill="1" applyBorder="1"/>
    <x:xf numFmtId="202" fontId="3" fillId="3" borderId="3" xfId="0" applyNumberFormat="1" applyFont="1" applyFill="1" applyBorder="1"/>
    <x:xf numFmtId="0" fontId="0" fillId="0" borderId="3" xfId="0" applyNumberFormat="1" applyFont="1" applyFill="1" applyBorder="1" applyAlignment="1">
      <x:alignment wrapText="1"/>
    </x:xf>
    <x:xf numFmtId="0" fontId="3" fillId="3" borderId="3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4" fillId="4" borderId="0" xfId="0" applyNumberFormat="1" applyFont="1" applyFill="1" applyBorder="1"/>
    <x:xf numFmtId="0" fontId="4" fillId="4" borderId="0" xfId="0" applyNumberFormat="1" applyFont="1" applyFill="1" applyBorder="1" applyAlignment="1">
      <x:alignment vertical="center"/>
    </x:xf>
    <x:xf numFmtId="0" fontId="0" fillId="0" borderId="0" xfId="0" applyNumberFormat="1" applyFont="1" applyFill="1" applyBorder="1" applyAlignment="1">
      <x:alignment wrapText="1"/>
    </x:xf>
    <x:xf numFmtId="0" fontId="4" fillId="4" borderId="0" xfId="0" applyNumberFormat="1" applyFont="1" applyFill="1" applyBorder="1" applyAlignment="1">
      <x:alignment vertical="center" wrapText="1"/>
    </x:xf>
    <x:xf numFmtId="0" fontId="0" fillId="5" borderId="0" xfId="0" applyNumberFormat="1" applyFont="1" applyFill="1" applyBorder="1"/>
    <x:xf numFmtId="0" fontId="5" fillId="5" borderId="0" xfId="0" applyNumberFormat="1" applyFont="1" applyFill="1" applyBorder="1"/>
    <x:xf numFmtId="0" fontId="5" fillId="5" borderId="0" xfId="0" applyNumberFormat="1" applyFont="1" applyFill="1" applyBorder="1" applyAlignment="1">
      <x:alignment wrapText="1"/>
    </x:xf>
    <x:xf numFmtId="0" fontId="5" fillId="5" borderId="0" xfId="0" applyNumberFormat="1" applyFont="1" applyFill="1" applyBorder="1" applyAlignment="1">
      <x:alignment vertical="top" wrapText="1"/>
    </x:xf>
    <x:xf numFmtId="0" fontId="6" fillId="5" borderId="0" xfId="0" applyNumberFormat="1" applyFont="1" applyFill="1" applyBorder="1"/>
    <x:xf numFmtId="0" fontId="6" fillId="5" borderId="4" xfId="0" applyNumberFormat="1" applyFont="1" applyFill="1" applyBorder="1"/>
    <x:xf numFmtId="0" fontId="6" fillId="5" borderId="5" xfId="0" applyNumberFormat="1" applyFont="1" applyFill="1" applyBorder="1"/>
    <x:xf numFmtId="0" fontId="6" fillId="5" borderId="6" xfId="0" applyNumberFormat="1" applyFont="1" applyFill="1" applyBorder="1"/>
    <x:xf numFmtId="0" fontId="6" fillId="5" borderId="7" xfId="0" applyNumberFormat="1" applyFont="1" applyFill="1" applyBorder="1"/>
    <x:xf numFmtId="0" fontId="6" fillId="5" borderId="2" xfId="0" applyNumberFormat="1" applyFont="1" applyFill="1" applyBorder="1"/>
    <x:xf numFmtId="0" fontId="6" fillId="5" borderId="8" xfId="0" applyNumberFormat="1" applyFont="1" applyFill="1" applyBorder="1"/>
    <x:xf numFmtId="0" fontId="6" fillId="5" borderId="4" xfId="0" applyNumberFormat="1" applyFont="1" applyFill="1" applyBorder="1" applyAlignment="1">
      <x:alignment horizontal="center"/>
    </x:xf>
    <x:xf numFmtId="0" fontId="6" fillId="5" borderId="5" xfId="0" applyNumberFormat="1" applyFont="1" applyFill="1" applyBorder="1" applyAlignment="1">
      <x:alignment horizontal="center"/>
    </x:xf>
    <x:xf numFmtId="0" fontId="6" fillId="5" borderId="6" xfId="0" applyNumberFormat="1" applyFont="1" applyFill="1" applyBorder="1" applyAlignment="1">
      <x:alignment horizontal="center"/>
    </x:xf>
    <x:xf numFmtId="0" fontId="6" fillId="5" borderId="7" xfId="0" applyNumberFormat="1" applyFont="1" applyFill="1" applyBorder="1" applyAlignment="1">
      <x:alignment horizontal="center"/>
    </x:xf>
    <x:xf numFmtId="0" fontId="6" fillId="5" borderId="2" xfId="0" applyNumberFormat="1" applyFont="1" applyFill="1" applyBorder="1" applyAlignment="1">
      <x:alignment horizontal="center"/>
    </x:xf>
    <x:xf numFmtId="0" fontId="6" fillId="5" borderId="8" xfId="0" applyNumberFormat="1" applyFont="1" applyFill="1" applyBorder="1" applyAlignment="1">
      <x:alignment horizontal="center"/>
    </x:xf>
    <x:xf numFmtId="0" fontId="6" fillId="5" borderId="4" xfId="0" applyNumberFormat="1" applyFont="1" applyFill="1" applyBorder="1" applyAlignment="1">
      <x:alignment horizontal="center" vertical="center"/>
    </x:xf>
    <x:xf numFmtId="0" fontId="6" fillId="5" borderId="5" xfId="0" applyNumberFormat="1" applyFont="1" applyFill="1" applyBorder="1" applyAlignment="1">
      <x:alignment horizontal="center" vertical="center"/>
    </x:xf>
    <x:xf numFmtId="0" fontId="6" fillId="5" borderId="6" xfId="0" applyNumberFormat="1" applyFont="1" applyFill="1" applyBorder="1" applyAlignment="1">
      <x:alignment horizontal="center" vertical="center"/>
    </x:xf>
    <x:xf numFmtId="0" fontId="6" fillId="5" borderId="7" xfId="0" applyNumberFormat="1" applyFont="1" applyFill="1" applyBorder="1" applyAlignment="1">
      <x:alignment horizontal="center" vertical="center"/>
    </x:xf>
    <x:xf numFmtId="0" fontId="6" fillId="5" borderId="2" xfId="0" applyNumberFormat="1" applyFont="1" applyFill="1" applyBorder="1" applyAlignment="1">
      <x:alignment horizontal="center" vertical="center"/>
    </x:xf>
    <x:xf numFmtId="0" fontId="6" fillId="5" borderId="8" xfId="0" applyNumberFormat="1" applyFont="1" applyFill="1" applyBorder="1" applyAlignment="1">
      <x:alignment horizontal="center" vertical="center"/>
    </x:xf>
    <x:xf numFmtId="201" fontId="6" fillId="5" borderId="4" xfId="0" applyNumberFormat="1" applyFont="1" applyFill="1" applyBorder="1" applyAlignment="1">
      <x:alignment horizontal="center" vertical="center"/>
    </x:xf>
    <x:xf numFmtId="201" fontId="6" fillId="5" borderId="5" xfId="0" applyNumberFormat="1" applyFont="1" applyFill="1" applyBorder="1" applyAlignment="1">
      <x:alignment horizontal="center" vertical="center"/>
    </x:xf>
    <x:xf numFmtId="201" fontId="6" fillId="5" borderId="7" xfId="0" applyNumberFormat="1" applyFont="1" applyFill="1" applyBorder="1" applyAlignment="1">
      <x:alignment horizontal="center" vertical="center"/>
    </x:xf>
    <x:xf numFmtId="201" fontId="6" fillId="5" borderId="2" xfId="0" applyNumberFormat="1" applyFont="1" applyFill="1" applyBorder="1" applyAlignment="1">
      <x:alignment horizontal="center" vertical="center"/>
    </x:xf>
    <x:xf numFmtId="202" fontId="6" fillId="5" borderId="5" xfId="0" applyNumberFormat="1" applyFont="1" applyFill="1" applyBorder="1" applyAlignment="1">
      <x:alignment horizontal="center" vertical="center"/>
    </x:xf>
    <x:xf numFmtId="202" fontId="6" fillId="5" borderId="2" xfId="0" applyNumberFormat="1" applyFont="1" applyFill="1" applyBorder="1" applyAlignment="1">
      <x:alignment horizontal="center" vertical="center"/>
    </x:xf>
    <x:xf numFmtId="200" fontId="6" fillId="5" borderId="5" xfId="0" applyNumberFormat="1" applyFont="1" applyFill="1" applyBorder="1" applyAlignment="1">
      <x:alignment horizontal="center" vertical="center"/>
    </x:xf>
    <x:xf numFmtId="200" fontId="6" fillId="5" borderId="6" xfId="0" applyNumberFormat="1" applyFont="1" applyFill="1" applyBorder="1" applyAlignment="1">
      <x:alignment horizontal="center" vertical="center"/>
    </x:xf>
    <x:xf numFmtId="200" fontId="6" fillId="5" borderId="2" xfId="0" applyNumberFormat="1" applyFont="1" applyFill="1" applyBorder="1" applyAlignment="1">
      <x:alignment horizontal="center" vertical="center"/>
    </x:xf>
    <x:xf numFmtId="200" fontId="6" fillId="5" borderId="8" xfId="0" applyNumberFormat="1" applyFont="1" applyFill="1" applyBorder="1" applyAlignment="1">
      <x:alignment horizontal="center" vertical="center"/>
    </x:xf>
    <x:xf numFmtId="0" fontId="0" fillId="6" borderId="0" xfId="0" applyNumberFormat="1" applyFont="1" applyFill="1" applyBorder="1"/>
    <x:xf numFmtId="0" fontId="7" fillId="6" borderId="0" xfId="0" applyNumberFormat="1" applyFont="1" applyFill="1" applyBorder="1"/>
    <x:xf numFmtId="0" fontId="7" fillId="6" borderId="0" xfId="0" applyNumberFormat="1" applyFont="1" applyFill="1" applyBorder="1" applyAlignment="1">
      <x:alignment wrapText="1"/>
    </x:xf>
    <x:xf numFmtId="0" fontId="7" fillId="6" borderId="0" xfId="0" applyNumberFormat="1" applyFont="1" applyFill="1" applyBorder="1" applyAlignment="1">
      <x:alignment vertical="center" wrapText="1"/>
    </x:xf>
    <x:xf numFmtId="0" fontId="8" fillId="2" borderId="0" xfId="0" applyNumberFormat="1" applyFont="1" applyFill="1" applyBorder="1" applyAlignment="1">
      <x:alignment horizontal="left" vertical="center"/>
    </x:xf>
    <x:xf numFmtId="0" fontId="9" fillId="0" borderId="0" xfId="0" applyNumberFormat="1" applyFont="1" applyFill="1" applyBorder="1"/>
    <x:xf numFmtId="0" fontId="9" fillId="5" borderId="0" xfId="0" applyNumberFormat="1" applyFont="1" applyFill="1" applyBorder="1" applyAlignment="1">
      <x:alignment vertical="top" wrapText="1"/>
    </x:xf>
    <x:xf numFmtId="0" fontId="8" fillId="4" borderId="0" xfId="0" applyNumberFormat="1" applyFont="1" applyFill="1" applyBorder="1" applyAlignment="1">
      <x:alignment vertical="center"/>
    </x:xf>
    <x:xf numFmtId="201" fontId="8" fillId="5" borderId="4" xfId="0" applyNumberFormat="1" applyFont="1" applyFill="1" applyBorder="1" applyAlignment="1">
      <x:alignment horizontal="center" vertical="center"/>
    </x:xf>
    <x:xf numFmtId="201" fontId="8" fillId="5" borderId="5" xfId="0" applyNumberFormat="1" applyFont="1" applyFill="1" applyBorder="1" applyAlignment="1">
      <x:alignment horizontal="center" vertical="center"/>
    </x:xf>
    <x:xf numFmtId="202" fontId="8" fillId="5" borderId="5" xfId="0" applyNumberFormat="1" applyFont="1" applyFill="1" applyBorder="1" applyAlignment="1">
      <x:alignment horizontal="center" vertical="center"/>
    </x:xf>
    <x:xf numFmtId="200" fontId="8" fillId="5" borderId="5" xfId="0" applyNumberFormat="1" applyFont="1" applyFill="1" applyBorder="1" applyAlignment="1">
      <x:alignment horizontal="center" vertical="center"/>
    </x:xf>
    <x:xf numFmtId="200" fontId="8" fillId="5" borderId="6" xfId="0" applyNumberFormat="1" applyFont="1" applyFill="1" applyBorder="1" applyAlignment="1">
      <x:alignment horizontal="center" vertical="center"/>
    </x:xf>
    <x:xf numFmtId="201" fontId="8" fillId="5" borderId="7" xfId="0" applyNumberFormat="1" applyFont="1" applyFill="1" applyBorder="1" applyAlignment="1">
      <x:alignment horizontal="center" vertical="center"/>
    </x:xf>
    <x:xf numFmtId="201" fontId="8" fillId="5" borderId="2" xfId="0" applyNumberFormat="1" applyFont="1" applyFill="1" applyBorder="1" applyAlignment="1">
      <x:alignment horizontal="center" vertical="center"/>
    </x:xf>
    <x:xf numFmtId="202" fontId="8" fillId="5" borderId="2" xfId="0" applyNumberFormat="1" applyFont="1" applyFill="1" applyBorder="1" applyAlignment="1">
      <x:alignment horizontal="center" vertical="center"/>
    </x:xf>
    <x:xf numFmtId="200" fontId="8" fillId="5" borderId="2" xfId="0" applyNumberFormat="1" applyFont="1" applyFill="1" applyBorder="1" applyAlignment="1">
      <x:alignment horizontal="center" vertical="center"/>
    </x:xf>
    <x:xf numFmtId="200" fontId="8" fillId="5" borderId="8" xfId="0" applyNumberFormat="1" applyFont="1" applyFill="1" applyBorder="1" applyAlignment="1">
      <x:alignment horizontal="center" vertical="center"/>
    </x:xf>
    <x:xf numFmtId="0" fontId="8" fillId="2" borderId="2" xfId="0" applyNumberFormat="1" applyFont="1" applyFill="1" applyBorder="1" applyAlignment="1">
      <x:alignment horizontal="center" vertical="center" wrapText="1"/>
    </x:xf>
    <x:xf numFmtId="0" fontId="9" fillId="0" borderId="3" xfId="0" applyNumberFormat="1" applyFont="1" applyFill="1" applyBorder="1"/>
    <x:xf numFmtId="0" fontId="8" fillId="2" borderId="0" xfId="0" applyNumberFormat="1" applyFont="1" applyFill="1" applyBorder="1" applyAlignment="1">
      <x:alignment horizontal="center" vertical="center" wrapText="1"/>
    </x:xf>
    <x:xf numFmtId="0" fontId="9" fillId="0" borderId="0" xfId="0" applyNumberFormat="1" applyFont="1" applyFill="1" applyBorder="1" applyAlignment="1">
      <x:alignment wrapText="1"/>
    </x:xf>
    <x:xf numFmtId="0" fontId="8" fillId="6" borderId="0" xfId="0" applyNumberFormat="1" applyFont="1" applyFill="1" applyBorder="1" applyAlignment="1">
      <x:alignment vertical="center" wrapText="1"/>
    </x:xf>
    <x:xf numFmtId="0" fontId="9" fillId="0" borderId="0" xfId="0" applyNumberFormat="1" applyFont="1" applyFill="1" applyBorder="1" applyAlignment="1">
      <x:alignment vertical="center"/>
    </x:xf>
    <x:xf numFmtId="0" fontId="9" fillId="5" borderId="0" xfId="0" applyNumberFormat="1" applyFont="1" applyFill="1" applyBorder="1" applyAlignment="1">
      <x:alignment vertical="center" wrapText="1"/>
    </x:xf>
    <x:xf numFmtId="0" fontId="9" fillId="0" borderId="3" xfId="0" applyNumberFormat="1" applyFont="1" applyFill="1" applyBorder="1" applyAlignment="1">
      <x:alignment vertical="center"/>
    </x:xf>
    <x:xf numFmtId="0" fontId="9" fillId="0" borderId="0" xfId="0" applyNumberFormat="1" applyFont="1" applyFill="1" applyBorder="1" applyAlignment="1">
      <x:alignment vertical="center" wrapText="1"/>
    </x:xf>
    <x:xf numFmtId="200" fontId="9" fillId="0" borderId="3" xfId="0" applyNumberFormat="1" applyFont="1" applyFill="1" applyBorder="1"/>
    <x:xf numFmtId="201" fontId="9" fillId="0" borderId="3" xfId="0" applyNumberFormat="1" applyFont="1" applyFill="1" applyBorder="1"/>
    <x:xf numFmtId="202" fontId="9" fillId="0" borderId="3" xfId="0" applyNumberFormat="1" applyFont="1" applyFill="1" applyBorder="1"/>
    <x:xf numFmtId="0" fontId="9" fillId="0" borderId="3" xfId="0" applyNumberFormat="1" applyFont="1" applyFill="1" applyBorder="1" applyAlignment="1">
      <x:alignment wrapText="1"/>
    </x:xf>
    <x:xf numFmtId="0" fontId="8" fillId="3" borderId="3" xfId="0" applyNumberFormat="1" applyFont="1" applyFill="1" applyBorder="1"/>
    <x:xf numFmtId="200" fontId="8" fillId="3" borderId="3" xfId="0" applyNumberFormat="1" applyFont="1" applyFill="1" applyBorder="1"/>
    <x:xf numFmtId="201" fontId="8" fillId="3" borderId="3" xfId="0" applyNumberFormat="1" applyFont="1" applyFill="1" applyBorder="1"/>
    <x:xf numFmtId="202" fontId="8" fillId="3" borderId="3" xfId="0" applyNumberFormat="1" applyFont="1" applyFill="1" applyBorder="1"/>
    <x:xf numFmtId="0" fontId="8" fillId="3" borderId="3" xfId="0" applyNumberFormat="1" applyFont="1" applyFill="1" applyBorder="1" applyAlignment="1">
      <x:alignment wrapText="1"/>
    </x:xf>
    <x:xf numFmtId="200" fontId="9" fillId="0" borderId="3" xfId="0" applyNumberFormat="1" applyFont="1" applyFill="1" applyBorder="1" applyAlignment="1">
      <x:alignment vertical="center"/>
    </x:xf>
    <x:xf numFmtId="201" fontId="9" fillId="0" borderId="3" xfId="0" applyNumberFormat="1" applyFont="1" applyFill="1" applyBorder="1" applyAlignment="1">
      <x:alignment vertical="center"/>
    </x:xf>
    <x:xf numFmtId="202" fontId="9" fillId="0" borderId="3" xfId="0" applyNumberFormat="1" applyFont="1" applyFill="1" applyBorder="1" applyAlignment="1">
      <x:alignment vertical="center"/>
    </x:xf>
    <x:xf numFmtId="0" fontId="9" fillId="0" borderId="3" xfId="0" applyNumberFormat="1" applyFont="1" applyFill="1" applyBorder="1" applyAlignment="1">
      <x:alignment vertical="center" wrapText="1"/>
    </x:xf>
    <x:xf numFmtId="0" fontId="8" fillId="3" borderId="3" xfId="0" applyNumberFormat="1" applyFont="1" applyFill="1" applyBorder="1" applyAlignment="1">
      <x:alignment vertical="center"/>
    </x:xf>
    <x:xf numFmtId="200" fontId="8" fillId="3" borderId="3" xfId="0" applyNumberFormat="1" applyFont="1" applyFill="1" applyBorder="1" applyAlignment="1">
      <x:alignment vertical="center"/>
    </x:xf>
    <x:xf numFmtId="201" fontId="8" fillId="3" borderId="3" xfId="0" applyNumberFormat="1" applyFont="1" applyFill="1" applyBorder="1" applyAlignment="1">
      <x:alignment vertical="center"/>
    </x:xf>
    <x:xf numFmtId="202" fontId="8" fillId="3" borderId="3" xfId="0" applyNumberFormat="1" applyFont="1" applyFill="1" applyBorder="1" applyAlignment="1">
      <x:alignment vertical="center"/>
    </x:xf>
    <x:xf numFmtId="0" fontId="8" fillId="3" borderId="3" xfId="0" applyNumberFormat="1" applyFont="1" applyFill="1" applyBorder="1" applyAlignment="1">
      <x:alignment vertical="center" wrapText="1"/>
    </x:xf>
    <x:xf numFmtId="200" fontId="9" fillId="0" borderId="0" xfId="0" applyNumberFormat="1" applyFont="1" applyFill="1" applyBorder="1"/>
    <x:xf numFmtId="202" fontId="9" fillId="0" borderId="0" xfId="0" applyNumberFormat="1" applyFont="1" applyFill="1" applyBorder="1"/>
    <x:xf numFmtId="200" fontId="9" fillId="0" borderId="0" xfId="0" applyNumberFormat="1" applyFont="1" applyFill="1" applyBorder="1" applyAlignment="1">
      <x:alignment vertical="center"/>
    </x:xf>
    <x:xf numFmtId="202" fontId="9" fillId="0" borderId="0" xfId="0" applyNumberFormat="1" applyFont="1" applyFill="1" applyBorder="1" applyAlignment="1">
      <x:alignment vertical="center"/>
    </x:xf>
    <x:xf numFmtId="0" fontId="8" fillId="4" borderId="0" xfId="0" applyNumberFormat="1" applyFont="1" applyFill="1" applyBorder="1" applyAlignment="1">
      <x:alignment vertical="center" wrapText="1"/>
    </x:xf>
    <x:xf numFmtId="0" fontId="10" fillId="2" borderId="0" xfId="0" applyNumberFormat="1" applyFont="1" applyFill="1" applyBorder="1" applyAlignment="1">
      <x:alignment horizontal="left" vertical="center"/>
    </x:xf>
    <x:xf numFmtId="0" fontId="11" fillId="4" borderId="0" xfId="0" applyNumberFormat="1" applyFont="1" applyFill="1" applyBorder="1" applyAlignment="1">
      <x:alignment vertical="center"/>
    </x:xf>
    <x:xf numFmtId="0" fontId="12" fillId="2" borderId="2" xfId="0" applyNumberFormat="1" applyFont="1" applyFill="1" applyBorder="1" applyAlignment="1">
      <x:alignment horizontal="center" vertical="center" wrapText="1"/>
    </x:xf>
    <x:xf numFmtId="0" fontId="12" fillId="2" borderId="0" xfId="0" applyNumberFormat="1" applyFont="1" applyFill="1" applyBorder="1" applyAlignment="1">
      <x:alignment horizontal="center" vertical="center" wrapText="1"/>
    </x:xf>
    <x:xf numFmtId="0" fontId="11" fillId="4" borderId="0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4eaf8166c6f4bf5" /><Relationship Type="http://schemas.openxmlformats.org/officeDocument/2006/relationships/theme" Target="/xl/theme/theme1.xml" Id="Rcd4c08ece9514ffe" /><Relationship Type="http://schemas.openxmlformats.org/officeDocument/2006/relationships/sharedStrings" Target="/xl/sharedStrings.xml" Id="R4e997101762a4604" /><Relationship Type="http://schemas.openxmlformats.org/officeDocument/2006/relationships/worksheet" Target="/xl/worksheets/sheet1.xml" Id="Rea827455ff904f68" /><Relationship Type="http://schemas.openxmlformats.org/officeDocument/2006/relationships/worksheet" Target="/xl/worksheets/sheet2.xml" Id="R33001863efc14b24" /><Relationship Type="http://schemas.openxmlformats.org/officeDocument/2006/relationships/worksheet" Target="/xl/worksheets/sheet3.xml" Id="R36a544c2a67940ec" /><Relationship Type="http://schemas.openxmlformats.org/officeDocument/2006/relationships/worksheet" Target="/xl/worksheets/sheet4.xml" Id="R08f4627be68f47ee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66124fd6a0504f59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商品銷售額排行（元）</a:t>
            </a:r>
          </a:p>
        </c:rich>
      </c:tx>
    </c:title>
    <c:plotArea>
      <c:barChart>
        <c:barDir val="col"/>
        <c:varyColors val="0"/>
        <c:ser>
          <c:idx val="0"/>
          <c:order val="0"/>
          <c:tx>
            <c:v>銷售額</c:v>
          </c:tx>
          <c:cat>
            <c:strRef>
              <c:f>'業務總覽'!$J$4:$J$10</c:f>
              <c:strCache>
                <c:ptCount val="0"/>
              </c:strCache>
            </c:strRef>
          </c:cat>
          <c:val>
            <c:numRef>
              <c:f>'業務總覽'!$K$4:$K$10</c:f>
              <c:numCache>
                <c:formatCode>#,##0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#,##0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9</xdr:col>
      <xdr:colOff>0</xdr:colOff>
      <xdr:row>11</xdr:row>
      <xdr:rowOff>0</xdr:rowOff>
    </xdr:from>
    <xdr:to>
      <xdr:col>17</xdr:col>
      <xdr:colOff>0</xdr:colOff>
      <xdr:row>27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66124fd6a0504f59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3fb4c78ca0aa443e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14" hidden="0" customWidth="1"/>
    <x:col min="3" max="3" width="14" hidden="0" customWidth="1"/>
    <x:col min="4" max="4" width="14" hidden="0" customWidth="1"/>
    <x:col min="5" max="5" width="14" hidden="0" customWidth="1"/>
    <x:col min="6" max="6" width="14" hidden="0" customWidth="1"/>
    <x:col min="7" max="7" width="13" hidden="0" customWidth="1"/>
    <x:col min="8" max="8" width="22" hidden="0" customWidth="1"/>
  </x:cols>
  <x:sheetData>
    <x:row r="1" ht="36" customHeight="1">
      <x:c r="A1" s="117" t="str">
        <x:v>晴果小舖｜業務資訊彙總表</x:v>
      </x:c>
      <x:c r="B1" s="117"/>
      <x:c r="C1" s="117"/>
      <x:c r="D1" s="117"/>
      <x:c r="E1" s="117"/>
      <x:c r="F1" s="117"/>
      <x:c r="G1" s="117"/>
      <x:c r="H1" s="117"/>
      <x:c r="I1" s="90"/>
      <x:c r="J1" s="90"/>
      <x:c r="K1" s="90"/>
    </x:row>
    <x:row r="2" ht="26" customHeight="1">
      <x:c r="A2" s="91" t="str">
        <x:v>統計期間：2026/6/1–6/12｜教學用虛擬資料｜缺少資料皆標示「待確認」</x:v>
      </x:c>
      <x:c r="B2" s="91"/>
      <x:c r="C2" s="91"/>
      <x:c r="D2" s="91"/>
      <x:c r="E2" s="91"/>
      <x:c r="F2" s="91"/>
      <x:c r="G2" s="91"/>
      <x:c r="H2" s="91"/>
      <x:c r="I2" s="90"/>
      <x:c r="J2" s="90"/>
      <x:c r="K2" s="90"/>
    </x:row>
    <x:row r="3">
      <x:c r="A3" s="90"/>
      <x:c r="B3" s="90"/>
      <x:c r="C3" s="90"/>
      <x:c r="D3" s="90"/>
      <x:c r="E3" s="90"/>
      <x:c r="F3" s="90"/>
      <x:c r="G3" s="90"/>
      <x:c r="H3" s="90"/>
      <x:c r="I3" s="90"/>
      <x:c r="J3" s="90" t="str">
        <x:v>品項</x:v>
      </x:c>
      <x:c r="K3" s="90" t="str">
        <x:v>銷售額</x:v>
      </x:c>
    </x:row>
    <x:row r="4">
      <x:c r="A4" s="118" t="str">
        <x:v>銷售額</x:v>
      </x:c>
      <x:c r="B4" s="118"/>
      <x:c r="C4" s="118" t="str">
        <x:v>毛利</x:v>
      </x:c>
      <x:c r="D4" s="118"/>
      <x:c r="E4" s="118" t="str">
        <x:v>毛利率</x:v>
      </x:c>
      <x:c r="F4" s="118"/>
      <x:c r="G4" s="118" t="str">
        <x:v>銷售量</x:v>
      </x:c>
      <x:c r="H4" s="118"/>
      <x:c r="I4" s="90"/>
      <x:c r="J4" s="90" t="str">
        <x:v>辦公室水果箱</x:v>
      </x:c>
      <x:c r="K4" s="90" t="n">
        <x:f>'商品銷售'!C4</x:f>
        <x:v>16440</x:v>
      </x:c>
    </x:row>
    <x:row r="5" ht="28" customHeight="1">
      <x:c r="A5" s="75" t="n">
        <x:f>'商品銷售'!C11</x:f>
        <x:v>51540</x:v>
      </x:c>
      <x:c r="B5" s="76"/>
      <x:c r="C5" s="76" t="n">
        <x:f>'商品銷售'!E11</x:f>
        <x:v>20562</x:v>
      </x:c>
      <x:c r="D5" s="76"/>
      <x:c r="E5" s="77" t="n">
        <x:f>'商品銷售'!F11</x:f>
        <x:v>0.3989522700814901</x:v>
      </x:c>
      <x:c r="F5" s="77"/>
      <x:c r="G5" s="78" t="n">
        <x:f>'商品銷售'!B11</x:f>
        <x:v>672</x:v>
      </x:c>
      <x:c r="H5" s="79"/>
      <x:c r="I5" s="90"/>
      <x:c r="J5" s="90" t="str">
        <x:v>切盒水果</x:v>
      </x:c>
      <x:c r="K5" s="90" t="n">
        <x:f>'商品銷售'!C5</x:f>
        <x:v>9300</x:v>
      </x:c>
    </x:row>
    <x:row r="6" ht="28" customHeight="1">
      <x:c r="A6" s="80"/>
      <x:c r="B6" s="81"/>
      <x:c r="C6" s="81"/>
      <x:c r="D6" s="81"/>
      <x:c r="E6" s="82"/>
      <x:c r="F6" s="82"/>
      <x:c r="G6" s="83"/>
      <x:c r="H6" s="84"/>
      <x:c r="I6" s="90"/>
      <x:c r="J6" s="90" t="str">
        <x:v>西瓜</x:v>
      </x:c>
      <x:c r="K6" s="90" t="n">
        <x:f>'商品銷售'!C6</x:f>
        <x:v>7840</x:v>
      </x:c>
    </x:row>
    <x:row r="7">
      <x:c r="A7" s="90"/>
      <x:c r="B7" s="90"/>
      <x:c r="C7" s="90"/>
      <x:c r="D7" s="90"/>
      <x:c r="E7" s="90"/>
      <x:c r="F7" s="90"/>
      <x:c r="G7" s="90"/>
      <x:c r="H7" s="90"/>
      <x:c r="I7" s="90"/>
      <x:c r="J7" s="90" t="str">
        <x:v>芒果</x:v>
      </x:c>
      <x:c r="K7" s="90" t="n">
        <x:f>'商品銷售'!C7</x:f>
        <x:v>7650</x:v>
      </x:c>
    </x:row>
    <x:row r="8">
      <x:c r="A8" s="118" t="str">
        <x:v>業務總覽</x:v>
      </x:c>
      <x:c r="B8" s="118"/>
      <x:c r="C8" s="118"/>
      <x:c r="D8" s="118"/>
      <x:c r="E8" s="118"/>
      <x:c r="F8" s="118"/>
      <x:c r="G8" s="118"/>
      <x:c r="H8" s="118"/>
      <x:c r="I8" s="90"/>
      <x:c r="J8" s="90" t="str">
        <x:v>香蕉</x:v>
      </x:c>
      <x:c r="K8" s="90" t="n">
        <x:f>'商品銷售'!C8</x:f>
        <x:v>4900</x:v>
      </x:c>
    </x:row>
    <x:row r="9">
      <x:c r="A9" s="119" t="str">
        <x:v>面向</x:v>
      </x:c>
      <x:c r="B9" s="119" t="str">
        <x:v>內容</x:v>
      </x:c>
      <x:c r="C9" s="119"/>
      <x:c r="D9" s="119"/>
      <x:c r="E9" s="119"/>
      <x:c r="F9" s="119"/>
      <x:c r="G9" s="119" t="str">
        <x:v>狀態</x:v>
      </x:c>
      <x:c r="H9" s="119" t="str">
        <x:v>來源</x:v>
      </x:c>
      <x:c r="I9" s="90"/>
      <x:c r="J9" s="90" t="str">
        <x:v>蘋果</x:v>
      </x:c>
      <x:c r="K9" s="90" t="n">
        <x:f>'商品銷售'!C9</x:f>
        <x:v>2750</x:v>
      </x:c>
    </x:row>
    <x:row r="10" ht="38" customHeight="1">
      <x:c r="A10" s="92" t="str">
        <x:v>品牌定位</x:v>
      </x:c>
      <x:c r="B10" s="92" t="str">
        <x:v>社區型新鮮水果攤；現場購買、LINE預訂與社群導流</x:v>
      </x:c>
      <x:c r="C10" s="92"/>
      <x:c r="D10" s="92"/>
      <x:c r="E10" s="92"/>
      <x:c r="F10" s="92"/>
      <x:c r="G10" s="92" t="str">
        <x:v>正常</x:v>
      </x:c>
      <x:c r="H10" s="92" t="str">
        <x:v>成立計劃</x:v>
      </x:c>
      <x:c r="I10" s="90"/>
      <x:c r="J10" s="90" t="str">
        <x:v>火龍果</x:v>
      </x:c>
      <x:c r="K10" s="90" t="n">
        <x:f>'商品銷售'!C10</x:f>
        <x:v>2660</x:v>
      </x:c>
    </x:row>
    <x:row r="11" ht="38" customHeight="1">
      <x:c r="A11" s="92" t="str">
        <x:v>主要客群</x:v>
      </x:c>
      <x:c r="B11" s="92" t="str">
        <x:v>上班族、家庭採買者、學校教職員、附近住戶及辦公室團購</x:v>
      </x:c>
      <x:c r="C11" s="92"/>
      <x:c r="D11" s="92"/>
      <x:c r="E11" s="92"/>
      <x:c r="F11" s="92"/>
      <x:c r="G11" s="92" t="str">
        <x:v>明確</x:v>
      </x:c>
      <x:c r="H11" s="92" t="str">
        <x:v>成立計劃／銷售資料</x:v>
      </x:c>
      <x:c r="I11" s="90"/>
      <x:c r="J11" s="90"/>
      <x:c r="K11" s="90"/>
    </x:row>
    <x:row r="12" ht="38" customHeight="1">
      <x:c r="A12" s="92" t="str">
        <x:v>主力商品</x:v>
      </x:c>
      <x:c r="B12" s="92" t="str">
        <x:v>當季水果、切盒水果、辦公室水果箱、活動水果盤</x:v>
      </x:c>
      <x:c r="C12" s="92"/>
      <x:c r="D12" s="92"/>
      <x:c r="E12" s="92"/>
      <x:c r="F12" s="92"/>
      <x:c r="G12" s="92" t="str">
        <x:v>明確</x:v>
      </x:c>
      <x:c r="H12" s="92" t="str">
        <x:v>成立計劃</x:v>
      </x:c>
      <x:c r="I12" s="90"/>
      <x:c r="J12" s="90"/>
      <x:c r="K12" s="90"/>
    </x:row>
    <x:row r="13" ht="38" customHeight="1">
      <x:c r="A13" s="92" t="str">
        <x:v>銷售通路</x:v>
      </x:c>
      <x:c r="B13" s="92" t="str">
        <x:v>現場、LINE、Instagram；另規劃 Google 商家頁面</x:v>
      </x:c>
      <x:c r="C13" s="92"/>
      <x:c r="D13" s="92"/>
      <x:c r="E13" s="92"/>
      <x:c r="F13" s="92"/>
      <x:c r="G13" s="92" t="str">
        <x:v>多通路</x:v>
      </x:c>
      <x:c r="H13" s="92" t="str">
        <x:v>成立計劃／銷售資料</x:v>
      </x:c>
      <x:c r="I13" s="90"/>
      <x:c r="J13" s="90"/>
      <x:c r="K13" s="90"/>
    </x:row>
    <x:row r="14" ht="38" customHeight="1">
      <x:c r="A14" s="92" t="str">
        <x:v>目前問題</x:v>
      </x:c>
      <x:c r="B14" s="92" t="str">
        <x:v>週末人力不足；芒果轉購率低且耗損高；社群導流不夠明確；天氣影響現場客流</x:v>
      </x:c>
      <x:c r="C14" s="92"/>
      <x:c r="D14" s="92"/>
      <x:c r="E14" s="92"/>
      <x:c r="F14" s="92"/>
      <x:c r="G14" s="92" t="str">
        <x:v>需改善</x:v>
      </x:c>
      <x:c r="H14" s="92" t="str">
        <x:v>營運規劃／銷售資料</x:v>
      </x:c>
      <x:c r="I14" s="90"/>
      <x:c r="J14" s="90"/>
      <x:c r="K14" s="90"/>
    </x:row>
    <x:row r="15">
      <x:c r="A15" s="90"/>
      <x:c r="B15" s="90"/>
      <x:c r="C15" s="90"/>
      <x:c r="D15" s="90"/>
      <x:c r="E15" s="90"/>
      <x:c r="F15" s="90"/>
      <x:c r="G15" s="90"/>
      <x:c r="H15" s="90"/>
      <x:c r="I15" s="90"/>
      <x:c r="J15" s="90"/>
      <x:c r="K15" s="90"/>
    </x:row>
    <x:row r="16">
      <x:c r="A16" s="118" t="str">
        <x:v>三個重要發現與改善建議</x:v>
      </x:c>
      <x:c r="B16" s="118"/>
      <x:c r="C16" s="118"/>
      <x:c r="D16" s="118"/>
      <x:c r="E16" s="118"/>
      <x:c r="F16" s="118"/>
      <x:c r="G16" s="118"/>
      <x:c r="H16" s="118"/>
      <x:c r="I16" s="90"/>
      <x:c r="J16" s="90"/>
      <x:c r="K16" s="90"/>
    </x:row>
    <x:row r="17">
      <x:c r="A17" s="120" t="str">
        <x:v>類型</x:v>
      </x:c>
      <x:c r="B17" s="120" t="str">
        <x:v>重點</x:v>
      </x:c>
      <x:c r="C17" s="120"/>
      <x:c r="D17" s="120"/>
      <x:c r="E17" s="120"/>
      <x:c r="F17" s="120" t="str">
        <x:v>建議行動</x:v>
      </x:c>
      <x:c r="G17" s="120"/>
      <x:c r="H17" s="120"/>
      <x:c r="I17" s="90"/>
      <x:c r="J17" s="90"/>
      <x:c r="K17" s="90"/>
    </x:row>
    <x:row r="18" ht="46" customHeight="1">
      <x:c r="A18" s="93" t="str">
        <x:v>發現 1</x:v>
      </x:c>
      <x:c r="B18" s="93" t="str">
        <x:v>辦公室水果箱營收及毛利第一，且耗損為 0</x:v>
      </x:c>
      <x:c r="C18" s="93"/>
      <x:c r="D18" s="93"/>
      <x:c r="E18" s="93"/>
      <x:c r="F18" s="93" t="str">
        <x:v>推出固定週配、企業團購與預訂截止時間</x:v>
      </x:c>
      <x:c r="G18" s="93"/>
      <x:c r="H18" s="93"/>
      <x:c r="I18" s="90"/>
      <x:c r="J18" s="90"/>
      <x:c r="K18" s="90"/>
    </x:row>
    <x:row r="19" ht="46" customHeight="1">
      <x:c r="A19" s="93" t="str">
        <x:v>發現 2</x:v>
      </x:c>
      <x:c r="B19" s="93" t="str">
        <x:v>芒果毛利率 33.3%，耗損 9，且詢問多但轉購低</x:v>
      </x:c>
      <x:c r="C19" s="93"/>
      <x:c r="D19" s="93"/>
      <x:c r="E19" s="93"/>
      <x:c r="F19" s="93" t="str">
        <x:v>小批量進貨並測試價格、組合及限時優惠</x:v>
      </x:c>
      <x:c r="G19" s="93"/>
      <x:c r="H19" s="93"/>
      <x:c r="I19" s="90"/>
      <x:c r="J19" s="90"/>
      <x:c r="K19" s="90"/>
    </x:row>
    <x:row r="20" ht="46" customHeight="1">
      <x:c r="A20" s="93" t="str">
        <x:v>發現 3</x:v>
      </x:c>
      <x:c r="B20" s="93" t="str">
        <x:v>數位導流已有訂單，但網站、社群與實際銷售無法逐筆串接</x:v>
      </x:c>
      <x:c r="C20" s="93"/>
      <x:c r="D20" s="93"/>
      <x:c r="E20" s="93"/>
      <x:c r="F20" s="93" t="str">
        <x:v>建立瀏覽→點擊→詢問→下單→成交來源追蹤</x:v>
      </x:c>
      <x:c r="G20" s="93"/>
      <x:c r="H20" s="93"/>
      <x:c r="I20" s="90"/>
      <x:c r="J20" s="90"/>
      <x:c r="K20" s="90"/>
    </x:row>
    <x:row r="21">
      <x:c r="A21" s="90"/>
      <x:c r="B21" s="90"/>
      <x:c r="C21" s="90"/>
      <x:c r="D21" s="90"/>
      <x:c r="E21" s="90"/>
      <x:c r="F21" s="90"/>
      <x:c r="G21" s="90"/>
      <x:c r="H21" s="90"/>
      <x:c r="I21" s="90"/>
      <x:c r="J21" s="90"/>
      <x:c r="K21" s="90"/>
    </x:row>
    <x:row r="22" ht="34" customHeight="1">
      <x:c r="A22" s="89" t="str">
        <x:v>關鍵限制：線上預訂比例、回購率、正式耗損率、詢問數與淨利均為待確認</x:v>
      </x:c>
      <x:c r="B22" s="89"/>
      <x:c r="C22" s="89"/>
      <x:c r="D22" s="89"/>
      <x:c r="E22" s="89"/>
      <x:c r="F22" s="89"/>
      <x:c r="G22" s="89"/>
      <x:c r="H22" s="89"/>
      <x:c r="I22" s="90"/>
      <x:c r="J22" s="90"/>
      <x:c r="K22" s="90"/>
    </x:row>
  </x:sheetData>
  <x:mergeCells>
    <x:mergeCell ref="A1:H1"/>
    <x:mergeCell ref="A2:H2"/>
    <x:mergeCell ref="A5:B6"/>
    <x:mergeCell ref="C5:D6"/>
    <x:mergeCell ref="E5:F6"/>
    <x:mergeCell ref="G5:H6"/>
    <x:mergeCell ref="A8:H8"/>
    <x:mergeCell ref="B10:F10"/>
    <x:mergeCell ref="B11:F11"/>
    <x:mergeCell ref="B12:F12"/>
    <x:mergeCell ref="B13:F13"/>
    <x:mergeCell ref="B14:F14"/>
    <x:mergeCell ref="A16:H16"/>
    <x:mergeCell ref="B17:E17"/>
    <x:mergeCell ref="B18:E18"/>
    <x:mergeCell ref="B19:E19"/>
    <x:mergeCell ref="B20:E20"/>
    <x:mergeCell ref="F17:H17"/>
    <x:mergeCell ref="F18:H18"/>
    <x:mergeCell ref="F19:H19"/>
    <x:mergeCell ref="F20:H20"/>
    <x:mergeCell ref="A22:H22"/>
  </x:mergeCells>
  <x:pageMargins left="0.7" right="0.7" top="0.75" bottom="0.75" header="0.3" footer="0.3"/>
  <x:drawing xmlns:r="http://schemas.openxmlformats.org/officeDocument/2006/relationships" r:id="R3fb4c78ca0aa443e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10" hidden="0" customWidth="1"/>
    <x:col min="3" max="3" width="13" hidden="0" customWidth="1"/>
    <x:col min="4" max="4" width="13" hidden="0" customWidth="1"/>
    <x:col min="5" max="5" width="13" hidden="0" customWidth="1"/>
    <x:col min="6" max="6" width="10" hidden="0" customWidth="1"/>
    <x:col min="7" max="7" width="10" hidden="0" customWidth="1"/>
    <x:col min="8" max="8" width="42" hidden="0" customWidth="1"/>
  </x:cols>
  <x:sheetData>
    <x:row r="1" ht="34" customHeight="1">
      <x:c r="A1" s="117" t="str">
        <x:v>晴果小舖｜商品銷售表現（2026/6/1–6/12）</x:v>
      </x:c>
      <x:c r="B1" s="117"/>
      <x:c r="C1" s="117"/>
      <x:c r="D1" s="117"/>
      <x:c r="E1" s="117"/>
      <x:c r="F1" s="117"/>
      <x:c r="G1" s="117"/>
      <x:c r="H1" s="117"/>
    </x:row>
    <x:row r="2">
      <x:c r="A2" s="90"/>
      <x:c r="B2" s="90"/>
      <x:c r="C2" s="90"/>
      <x:c r="D2" s="90"/>
      <x:c r="E2" s="90"/>
      <x:c r="F2" s="90"/>
      <x:c r="G2" s="90"/>
      <x:c r="H2" s="90"/>
    </x:row>
    <x:row r="3" ht="28" customHeight="1">
      <x:c r="A3" s="119" t="str">
        <x:v>品項</x:v>
      </x:c>
      <x:c r="B3" s="119" t="str">
        <x:v>銷售量</x:v>
      </x:c>
      <x:c r="C3" s="119" t="str">
        <x:v>銷售額</x:v>
      </x:c>
      <x:c r="D3" s="119" t="str">
        <x:v>成本</x:v>
      </x:c>
      <x:c r="E3" s="119" t="str">
        <x:v>毛利</x:v>
      </x:c>
      <x:c r="F3" s="119" t="str">
        <x:v>毛利率</x:v>
      </x:c>
      <x:c r="G3" s="119" t="str">
        <x:v>耗損量</x:v>
      </x:c>
      <x:c r="H3" s="119" t="str">
        <x:v>管理提醒</x:v>
      </x:c>
    </x:row>
    <x:row r="4" ht="34" customHeight="1">
      <x:c r="A4" s="92" t="str">
        <x:v>辦公室水果箱</x:v>
      </x:c>
      <x:c r="B4" s="103" t="n">
        <x:v>137</x:v>
      </x:c>
      <x:c r="C4" s="104" t="n">
        <x:v>16440</x:v>
      </x:c>
      <x:c r="D4" s="104" t="n">
        <x:v>9590</x:v>
      </x:c>
      <x:c r="E4" s="104" t="n">
        <x:f>C4-D4</x:f>
        <x:v>6850</x:v>
      </x:c>
      <x:c r="F4" s="105" t="n">
        <x:f>IFERROR(E4/C4,0)</x:f>
        <x:v>0.4166666666666667</x:v>
      </x:c>
      <x:c r="G4" s="103" t="n">
        <x:v>0</x:v>
      </x:c>
      <x:c r="H4" s="106" t="str">
        <x:v>營收與毛利第一；配送與團購接單能力需同步擴充</x:v>
      </x:c>
    </x:row>
    <x:row r="5" ht="34" customHeight="1">
      <x:c r="A5" s="92" t="str">
        <x:v>切盒水果</x:v>
      </x:c>
      <x:c r="B5" s="103" t="n">
        <x:v>124</x:v>
      </x:c>
      <x:c r="C5" s="104" t="n">
        <x:v>9300</x:v>
      </x:c>
      <x:c r="D5" s="104" t="n">
        <x:v>5580</x:v>
      </x:c>
      <x:c r="E5" s="104" t="n">
        <x:f>C5-D5</x:f>
        <x:v>3720</x:v>
      </x:c>
      <x:c r="F5" s="105" t="n">
        <x:f>IFERROR(E5/C5,0)</x:f>
        <x:v>0.4</x:v>
      </x:c>
      <x:c r="G5" s="103" t="n">
        <x:v>4</x:v>
      </x:c>
      <x:c r="H5" s="106" t="str">
        <x:v>週末與午休熱銷；注意製作人力與保存</x:v>
      </x:c>
    </x:row>
    <x:row r="6" ht="34" customHeight="1">
      <x:c r="A6" s="92" t="str">
        <x:v>西瓜</x:v>
      </x:c>
      <x:c r="B6" s="103" t="n">
        <x:v>98</x:v>
      </x:c>
      <x:c r="C6" s="104" t="n">
        <x:v>7840</x:v>
      </x:c>
      <x:c r="D6" s="104" t="n">
        <x:v>4410</x:v>
      </x:c>
      <x:c r="E6" s="104" t="n">
        <x:f>C6-D6</x:f>
        <x:v>3430</x:v>
      </x:c>
      <x:c r="F6" s="105" t="n">
        <x:f>IFERROR(E6/C6,0)</x:f>
        <x:v>0.4375</x:v>
      </x:c>
      <x:c r="G6" s="103" t="n">
        <x:v>9</x:v>
      </x:c>
      <x:c r="H6" s="106" t="str">
        <x:v>毛利率高，但耗損偏高且受天氣影響</x:v>
      </x:c>
    </x:row>
    <x:row r="7" ht="34" customHeight="1">
      <x:c r="A7" s="92" t="str">
        <x:v>芒果</x:v>
      </x:c>
      <x:c r="B7" s="103" t="n">
        <x:v>85</x:v>
      </x:c>
      <x:c r="C7" s="104" t="n">
        <x:v>7650</x:v>
      </x:c>
      <x:c r="D7" s="104" t="n">
        <x:v>5100</x:v>
      </x:c>
      <x:c r="E7" s="104" t="n">
        <x:f>C7-D7</x:f>
        <x:v>2550</x:v>
      </x:c>
      <x:c r="F7" s="105" t="n">
        <x:f>IFERROR(E7/C7,0)</x:f>
        <x:v>0.3333333333333333</x:v>
      </x:c>
      <x:c r="G7" s="103" t="n">
        <x:v>9</x:v>
      </x:c>
      <x:c r="H7" s="106" t="str">
        <x:v>詢問多但轉購低；優先檢討價格、組合與進貨量</x:v>
      </x:c>
    </x:row>
    <x:row r="8" ht="34" customHeight="1">
      <x:c r="A8" s="92" t="str">
        <x:v>香蕉</x:v>
      </x:c>
      <x:c r="B8" s="103" t="n">
        <x:v>140</x:v>
      </x:c>
      <x:c r="C8" s="104" t="n">
        <x:v>4900</x:v>
      </x:c>
      <x:c r="D8" s="104" t="n">
        <x:v>2800</x:v>
      </x:c>
      <x:c r="E8" s="104" t="n">
        <x:f>C8-D8</x:f>
        <x:v>2100</x:v>
      </x:c>
      <x:c r="F8" s="105" t="n">
        <x:f>IFERROR(E8/C8,0)</x:f>
        <x:v>0.42857142857142855</x:v>
      </x:c>
      <x:c r="G8" s="103" t="n">
        <x:v>5</x:v>
      </x:c>
      <x:c r="H8" s="106" t="str">
        <x:v>銷量最高但單價低，適合引流與組合銷售</x:v>
      </x:c>
    </x:row>
    <x:row r="9" ht="34" customHeight="1">
      <x:c r="A9" s="92" t="str">
        <x:v>蘋果</x:v>
      </x:c>
      <x:c r="B9" s="103" t="n">
        <x:v>50</x:v>
      </x:c>
      <x:c r="C9" s="104" t="n">
        <x:v>2750</x:v>
      </x:c>
      <x:c r="D9" s="104" t="n">
        <x:v>1750</x:v>
      </x:c>
      <x:c r="E9" s="104" t="n">
        <x:f>C9-D9</x:f>
        <x:v>1000</x:v>
      </x:c>
      <x:c r="F9" s="105" t="n">
        <x:f>IFERROR(E9/C9,0)</x:f>
        <x:v>0.36363636363636365</x:v>
      </x:c>
      <x:c r="G9" s="103" t="n">
        <x:v>0</x:v>
      </x:c>
      <x:c r="H9" s="106" t="str">
        <x:v>零耗損；家庭訂單增加，可搭配水果箱</x:v>
      </x:c>
    </x:row>
    <x:row r="10" ht="34" customHeight="1">
      <x:c r="A10" s="92" t="str">
        <x:v>火龍果</x:v>
      </x:c>
      <x:c r="B10" s="103" t="n">
        <x:v>38</x:v>
      </x:c>
      <x:c r="C10" s="104" t="n">
        <x:v>2660</x:v>
      </x:c>
      <x:c r="D10" s="104" t="n">
        <x:v>1748</x:v>
      </x:c>
      <x:c r="E10" s="104" t="n">
        <x:f>C10-D10</x:f>
        <x:v>912</x:v>
      </x:c>
      <x:c r="F10" s="105" t="n">
        <x:f>IFERROR(E10/C10,0)</x:f>
        <x:v>0.34285714285714286</x:v>
      </x:c>
      <x:c r="G10" s="103" t="n">
        <x:v>4</x:v>
      </x:c>
      <x:c r="H10" s="106" t="str">
        <x:v>銷量與毛利最低；持續觀察</x:v>
      </x:c>
    </x:row>
    <x:row r="11" ht="34" customHeight="1">
      <x:c r="A11" s="107" t="str">
        <x:v>合計</x:v>
      </x:c>
      <x:c r="B11" s="108" t="n">
        <x:f>SUM(B4:B10)</x:f>
        <x:v>672</x:v>
      </x:c>
      <x:c r="C11" s="109" t="n">
        <x:f>SUM(C4:C10)</x:f>
        <x:v>51540</x:v>
      </x:c>
      <x:c r="D11" s="109" t="n">
        <x:f>SUM(D4:D10)</x:f>
        <x:v>30978</x:v>
      </x:c>
      <x:c r="E11" s="109" t="n">
        <x:f>SUM(E4:E10)</x:f>
        <x:v>20562</x:v>
      </x:c>
      <x:c r="F11" s="110" t="n">
        <x:f>IFERROR(E11/C11,0)</x:f>
        <x:v>0.3989522700814901</x:v>
      </x:c>
      <x:c r="G11" s="108" t="n">
        <x:f>SUM(G4:G10)</x:f>
        <x:v>31</x:v>
      </x:c>
      <x:c r="H11" s="111" t="str">
        <x:v>正式耗損率因缺少進貨量而待確認</x:v>
      </x:c>
    </x:row>
  </x:sheetData>
  <x:mergeCells>
    <x:mergeCell ref="A1:H1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15" hidden="0" customWidth="1"/>
    <x:col min="3" max="3" width="15" hidden="0" customWidth="1"/>
    <x:col min="4" max="4" width="15" hidden="0" customWidth="1"/>
    <x:col min="5" max="5" width="15" hidden="0" customWidth="1"/>
    <x:col min="6" max="6" width="15" hidden="0" customWidth="1"/>
    <x:col min="7" max="7" width="38" hidden="0" customWidth="1"/>
  </x:cols>
  <x:sheetData>
    <x:row r="1" ht="34" customHeight="1">
      <x:c r="A1" s="117" t="str">
        <x:v>晴果小舖｜網站與社群成效（2026/6/1–6/12）</x:v>
      </x:c>
      <x:c r="B1" s="117"/>
      <x:c r="C1" s="117"/>
      <x:c r="D1" s="117"/>
      <x:c r="E1" s="117"/>
      <x:c r="F1" s="117"/>
      <x:c r="G1" s="117"/>
    </x:row>
    <x:row r="2">
      <x:c r="A2" s="90"/>
      <x:c r="B2" s="90"/>
      <x:c r="C2" s="90"/>
      <x:c r="D2" s="90"/>
      <x:c r="E2" s="90"/>
      <x:c r="F2" s="90"/>
      <x:c r="G2" s="90"/>
    </x:row>
    <x:row r="3" ht="30" customHeight="1">
      <x:c r="A3" s="119" t="str">
        <x:v>管道</x:v>
      </x:c>
      <x:c r="B3" s="119" t="str">
        <x:v>流量／觀看</x:v>
      </x:c>
      <x:c r="C3" s="119" t="str">
        <x:v>互動／CTA</x:v>
      </x:c>
      <x:c r="D3" s="119" t="str">
        <x:v>LINE 點擊</x:v>
      </x:c>
      <x:c r="E3" s="119" t="str">
        <x:v>詢問</x:v>
      </x:c>
      <x:c r="F3" s="119" t="str">
        <x:v>訂單</x:v>
      </x:c>
      <x:c r="G3" s="119" t="str">
        <x:v>轉換狀況</x:v>
      </x:c>
    </x:row>
    <x:row r="4" ht="30" customHeight="1">
      <x:c r="A4" s="92" t="str">
        <x:v>網站</x:v>
      </x:c>
      <x:c r="B4" s="103" t="n">
        <x:v>4630</x:v>
      </x:c>
      <x:c r="C4" s="103" t="n">
        <x:v>859</x:v>
      </x:c>
      <x:c r="D4" s="103" t="n">
        <x:v>512</x:v>
      </x:c>
      <x:c r="E4" s="92" t="str">
        <x:v>待確認</x:v>
      </x:c>
      <x:c r="F4" s="103" t="n">
        <x:v>143</x:v>
      </x:c>
      <x:c r="G4" s="92" t="str">
        <x:v>瀏覽→訂單 3.1%；LINE點擊→訂單 27.9%</x:v>
      </x:c>
    </x:row>
    <x:row r="5" ht="30" customHeight="1">
      <x:c r="A5" s="92" t="str">
        <x:v>社群</x:v>
      </x:c>
      <x:c r="B5" s="103" t="n">
        <x:v>20293</x:v>
      </x:c>
      <x:c r="C5" s="103" t="n">
        <x:v>2482</x:v>
      </x:c>
      <x:c r="D5" s="103" t="n">
        <x:v>427</x:v>
      </x:c>
      <x:c r="E5" s="92" t="str">
        <x:v>待確認</x:v>
      </x:c>
      <x:c r="F5" s="103" t="n">
        <x:v>119</x:v>
      </x:c>
      <x:c r="G5" s="92" t="str">
        <x:v>觀看→訂單 0.6%；LINE點擊→訂單 27.9%</x:v>
      </x:c>
    </x:row>
    <x:row r="6">
      <x:c r="A6" s="90"/>
      <x:c r="B6" s="90"/>
      <x:c r="C6" s="90"/>
      <x:c r="D6" s="90"/>
      <x:c r="E6" s="90"/>
      <x:c r="F6" s="90"/>
      <x:c r="G6" s="90"/>
    </x:row>
    <x:row r="7">
      <x:c r="A7" s="118" t="str">
        <x:v>社群內容型態</x:v>
      </x:c>
      <x:c r="B7" s="118"/>
      <x:c r="C7" s="118"/>
      <x:c r="D7" s="118"/>
      <x:c r="E7" s="118"/>
      <x:c r="F7" s="118"/>
      <x:c r="G7" s="118"/>
    </x:row>
    <x:row r="8">
      <x:c r="A8" s="120" t="str">
        <x:v>內容型態</x:v>
      </x:c>
      <x:c r="B8" s="120" t="str">
        <x:v>篇數</x:v>
      </x:c>
      <x:c r="C8" s="120" t="str">
        <x:v>觀看</x:v>
      </x:c>
      <x:c r="D8" s="120" t="str">
        <x:v>互動</x:v>
      </x:c>
      <x:c r="E8" s="120" t="str">
        <x:v>LINE 點擊</x:v>
      </x:c>
      <x:c r="F8" s="120" t="str">
        <x:v>訂單</x:v>
      </x:c>
      <x:c r="G8" s="90"/>
    </x:row>
    <x:row r="9">
      <x:c r="A9" s="90" t="str">
        <x:v>限動</x:v>
      </x:c>
      <x:c r="B9" s="114" t="n">
        <x:v>8</x:v>
      </x:c>
      <x:c r="C9" s="114" t="n">
        <x:v>6347</x:v>
      </x:c>
      <x:c r="D9" s="114" t="n">
        <x:v>624</x:v>
      </x:c>
      <x:c r="E9" s="114" t="n">
        <x:v>128</x:v>
      </x:c>
      <x:c r="F9" s="114" t="n">
        <x:v>35</x:v>
      </x:c>
      <x:c r="G9" s="90"/>
    </x:row>
    <x:row r="10">
      <x:c r="A10" s="90" t="str">
        <x:v>貼文</x:v>
      </x:c>
      <x:c r="B10" s="114" t="n">
        <x:v>12</x:v>
      </x:c>
      <x:c r="C10" s="114" t="n">
        <x:v>8356</x:v>
      </x:c>
      <x:c r="D10" s="114" t="n">
        <x:v>947</x:v>
      </x:c>
      <x:c r="E10" s="114" t="n">
        <x:v>165</x:v>
      </x:c>
      <x:c r="F10" s="114" t="n">
        <x:v>46</x:v>
      </x:c>
      <x:c r="G10" s="90"/>
    </x:row>
    <x:row r="11">
      <x:c r="A11" s="90" t="str">
        <x:v>短影片</x:v>
      </x:c>
      <x:c r="B11" s="114" t="n">
        <x:v>4</x:v>
      </x:c>
      <x:c r="C11" s="114" t="n">
        <x:v>5590</x:v>
      </x:c>
      <x:c r="D11" s="114" t="n">
        <x:v>911</x:v>
      </x:c>
      <x:c r="E11" s="114" t="n">
        <x:v>134</x:v>
      </x:c>
      <x:c r="F11" s="114" t="n">
        <x:v>38</x:v>
      </x:c>
      <x:c r="G11" s="90"/>
    </x:row>
    <x:row r="12">
      <x:c r="A12" s="90"/>
      <x:c r="B12" s="90"/>
      <x:c r="C12" s="90"/>
      <x:c r="D12" s="90"/>
      <x:c r="E12" s="90"/>
      <x:c r="F12" s="90"/>
      <x:c r="G12" s="90"/>
    </x:row>
    <x:row r="13" ht="32" customHeight="1">
      <x:c r="A13" s="120" t="str">
        <x:v>指標</x:v>
      </x:c>
      <x:c r="B13" s="120" t="str">
        <x:v>結果</x:v>
      </x:c>
      <x:c r="C13" s="120" t="str">
        <x:v>判讀</x:v>
      </x:c>
      <x:c r="D13" s="90"/>
      <x:c r="E13" s="90"/>
      <x:c r="F13" s="90"/>
      <x:c r="G13" s="90"/>
    </x:row>
    <x:row r="14" ht="40" customHeight="1">
      <x:c r="A14" s="90" t="str">
        <x:v>網站加權跳出率</x:v>
      </x:c>
      <x:c r="B14" s="115" t="n">
        <x:v>0.453</x:v>
      </x:c>
      <x:c r="C14" s="93" t="str">
        <x:v>部分首頁日期超過 50%，可改善首頁承接與訂購資訊</x:v>
      </x:c>
      <x:c r="D14" s="93"/>
      <x:c r="E14" s="93"/>
      <x:c r="F14" s="93"/>
      <x:c r="G14" s="93"/>
    </x:row>
    <x:row r="15" ht="40" customHeight="1">
      <x:c r="A15" s="90" t="str">
        <x:v>短影片效率</x:v>
      </x:c>
      <x:c r="B15" s="90" t="str">
        <x:v>4則／38筆訂單</x:v>
      </x:c>
      <x:c r="C15" s="93" t="str">
        <x:v>單篇效益突出，建議增加開箱、製作過程與保存技巧</x:v>
      </x:c>
      <x:c r="D15" s="93"/>
      <x:c r="E15" s="93"/>
      <x:c r="F15" s="93"/>
      <x:c r="G15" s="93"/>
    </x:row>
  </x:sheetData>
  <x:mergeCells>
    <x:mergeCell ref="A1:G1"/>
    <x:mergeCell ref="A7:G7"/>
    <x:mergeCell ref="C14:G14"/>
    <x:mergeCell ref="C15:G15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5" hidden="0" customWidth="1"/>
    <x:col min="2" max="2" width="37" hidden="0" customWidth="1"/>
    <x:col min="3" max="3" width="35" hidden="0" customWidth="1"/>
    <x:col min="4" max="4" width="28" hidden="0" customWidth="1"/>
  </x:cols>
  <x:sheetData>
    <x:row r="1" ht="36" customHeight="1">
      <x:c r="A1" s="117" t="str">
        <x:v>資料來源、限制與待確認清單</x:v>
      </x:c>
      <x:c r="B1" s="117"/>
      <x:c r="C1" s="117"/>
      <x:c r="D1" s="117"/>
    </x:row>
    <x:row r="2">
      <x:c r="A2" s="90"/>
      <x:c r="B2" s="90"/>
      <x:c r="C2" s="90"/>
      <x:c r="D2" s="90"/>
    </x:row>
    <x:row r="3" ht="28" customHeight="1">
      <x:c r="A3" s="120" t="str">
        <x:v>來源</x:v>
      </x:c>
      <x:c r="B3" s="120" t="str">
        <x:v>涵蓋內容</x:v>
      </x:c>
      <x:c r="C3" s="120" t="str">
        <x:v>期間／性質</x:v>
      </x:c>
      <x:c r="D3" s="120" t="str">
        <x:v>備註</x:v>
      </x:c>
    </x:row>
    <x:row r="4" ht="38" customHeight="1">
      <x:c r="A4" s="93" t="str">
        <x:v>fruit-stand-startup-plan.doc</x:v>
      </x:c>
      <x:c r="B4" s="93" t="str">
        <x:v>定位、客群、商品、目標、通路與風險</x:v>
      </x:c>
      <x:c r="C4" s="93" t="str">
        <x:v>成立計劃</x:v>
      </x:c>
      <x:c r="D4" s="93" t="str">
        <x:v>檔案實際內容為 UTF-8 HTML</x:v>
      </x:c>
    </x:row>
    <x:row r="5" ht="38" customHeight="1">
      <x:c r="A5" s="93" t="str">
        <x:v>fruit-stand-operations-plan.doc</x:v>
      </x:c>
      <x:c r="B5" s="93" t="str">
        <x:v>進貨、現場、線上、社群、庫存及本週問題</x:v>
      </x:c>
      <x:c r="C5" s="93" t="str">
        <x:v>營運規劃</x:v>
      </x:c>
      <x:c r="D5" s="93" t="str">
        <x:v>檔案實際內容為 UTF-8 HTML</x:v>
      </x:c>
    </x:row>
    <x:row r="6" ht="38" customHeight="1">
      <x:c r="A6" s="93" t="str">
        <x:v>fruit-stand-sales-data.csv</x:v>
      </x:c>
      <x:c r="B6" s="93" t="str">
        <x:v>銷量、售價、營收、成本與耗損</x:v>
      </x:c>
      <x:c r="C6" s="93" t="str">
        <x:v>2026/6/1–6/12</x:v>
      </x:c>
      <x:c r="D6" s="93" t="str">
        <x:v>商品毛利不等於淨利</x:v>
      </x:c>
    </x:row>
    <x:row r="7" ht="38" customHeight="1">
      <x:c r="A7" s="93" t="str">
        <x:v>fruit-stand-web-analytics.csv</x:v>
      </x:c>
      <x:c r="B7" s="93" t="str">
        <x:v>網站瀏覽、CTA、LINE點擊、訂單與跳出率</x:v>
      </x:c>
      <x:c r="C7" s="93" t="str">
        <x:v>2026/6/1–6/12</x:v>
      </x:c>
      <x:c r="D7" s="93" t="str">
        <x:v>不重複訪客為頁面／日加總，不宜跨頁去重</x:v>
      </x:c>
    </x:row>
    <x:row r="8" ht="38" customHeight="1">
      <x:c r="A8" s="93" t="str">
        <x:v>fruit-stand-social-analytics.csv</x:v>
      </x:c>
      <x:c r="B8" s="93" t="str">
        <x:v>觸及、觀看、互動、LINE點擊與社群訂單</x:v>
      </x:c>
      <x:c r="C8" s="93" t="str">
        <x:v>2026/6/1–6/12</x:v>
      </x:c>
      <x:c r="D8" s="93" t="str">
        <x:v>觸及可能跨貼文重複</x:v>
      </x:c>
    </x:row>
    <x:row r="9">
      <x:c r="A9" s="93" t="str">
        <x:v>fruit-stand-readme.txt</x:v>
      </x:c>
      <x:c r="B9" s="93" t="str">
        <x:v>素材性質與使用說明</x:v>
      </x:c>
      <x:c r="C9" s="93" t="str">
        <x:v>教學用虛擬資料</x:v>
      </x:c>
      <x:c r="D9" s="93" t="str">
        <x:v>非真實店家資料</x:v>
      </x:c>
    </x:row>
    <x:row r="10" ht="28" customHeight="1">
      <x:c r="A10" s="121" t="str">
        <x:v>待確認資料</x:v>
      </x:c>
      <x:c r="B10" s="121"/>
      <x:c r="C10" s="121"/>
      <x:c r="D10" s="121"/>
    </x:row>
    <x:row r="11" ht="28" customHeight="1">
      <x:c r="A11" s="120" t="str">
        <x:v>優先級</x:v>
      </x:c>
      <x:c r="B11" s="120" t="str">
        <x:v>待補項目</x:v>
      </x:c>
      <x:c r="C11" s="120" t="str">
        <x:v>用途</x:v>
      </x:c>
      <x:c r="D11" s="120" t="str">
        <x:v>狀態</x:v>
      </x:c>
    </x:row>
    <x:row r="12" ht="36" customHeight="1">
      <x:c r="A12" s="93" t="str">
        <x:v>高</x:v>
      </x:c>
      <x:c r="B12" s="93" t="str">
        <x:v>每筆訂單編號、來源與成交金額</x:v>
      </x:c>
      <x:c r="C12" s="93" t="str">
        <x:v>排除網站與社群訂單重複並對帳</x:v>
      </x:c>
      <x:c r="D12" s="93" t="str">
        <x:v>待確認</x:v>
      </x:c>
    </x:row>
    <x:row r="13" ht="36" customHeight="1">
      <x:c r="A13" s="93" t="str">
        <x:v>高</x:v>
      </x:c>
      <x:c r="B13" s="93" t="str">
        <x:v>實際詢問數及未成交原因</x:v>
      </x:c>
      <x:c r="C13" s="93" t="str">
        <x:v>計算詢問→成交轉換率</x:v>
      </x:c>
      <x:c r="D13" s="93" t="str">
        <x:v>待確認</x:v>
      </x:c>
    </x:row>
    <x:row r="14" ht="36" customHeight="1">
      <x:c r="A14" s="93" t="str">
        <x:v>高</x:v>
      </x:c>
      <x:c r="B14" s="93" t="str">
        <x:v>各品項進貨量、期末庫存與報廢金額</x:v>
      </x:c>
      <x:c r="C14" s="93" t="str">
        <x:v>計算正式耗損率與報廢損失</x:v>
      </x:c>
      <x:c r="D14" s="93" t="str">
        <x:v>待確認</x:v>
      </x:c>
    </x:row>
    <x:row r="15" ht="36" customHeight="1">
      <x:c r="A15" s="93" t="str">
        <x:v>中</x:v>
      </x:c>
      <x:c r="B15" s="93" t="str">
        <x:v>首次購買與回購紀錄</x:v>
      </x:c>
      <x:c r="C15" s="93" t="str">
        <x:v>驗證固定回購客群目標</x:v>
      </x:c>
      <x:c r="D15" s="93" t="str">
        <x:v>待確認</x:v>
      </x:c>
    </x:row>
    <x:row r="16" ht="36" customHeight="1">
      <x:c r="A16" s="93" t="str">
        <x:v>中</x:v>
      </x:c>
      <x:c r="B16" s="93" t="str">
        <x:v>線上預訂比例的正式計算口徑</x:v>
      </x:c>
      <x:c r="C16" s="93" t="str">
        <x:v>判斷 25% 目標是否達成</x:v>
      </x:c>
      <x:c r="D16" s="93" t="str">
        <x:v>待確認</x:v>
      </x:c>
    </x:row>
    <x:row r="17" ht="36" customHeight="1">
      <x:c r="A17" s="93" t="str">
        <x:v>中</x:v>
      </x:c>
      <x:c r="B17" s="93" t="str">
        <x:v>人事、配送、包材與其他費用</x:v>
      </x:c>
      <x:c r="C17" s="93" t="str">
        <x:v>由毛利進一步計算淨利</x:v>
      </x:c>
      <x:c r="D17" s="93" t="str">
        <x:v>待確認</x:v>
      </x:c>
    </x:row>
    <x:row r="18" ht="36" customHeight="1">
      <x:c r="A18" s="93" t="str">
        <x:v>低</x:v>
      </x:c>
      <x:c r="B18" s="93" t="str">
        <x:v>Google 商家頁面成效</x:v>
      </x:c>
      <x:c r="C18" s="93" t="str">
        <x:v>補足規劃通路的成效評估</x:v>
      </x:c>
      <x:c r="D18" s="93" t="str">
        <x:v>待確認</x:v>
      </x:c>
    </x:row>
    <x:row r="19" ht="36" customHeight="1">
      <x:c r="A19" s="93" t="str">
        <x:v>低</x:v>
      </x:c>
      <x:c r="B19" s="93" t="str">
        <x:v>活動水果盤銷售資料</x:v>
      </x:c>
      <x:c r="C19" s="93" t="str">
        <x:v>補足主力商品規劃的實際表現</x:v>
      </x:c>
      <x:c r="D19" s="93" t="str">
        <x:v>待確認</x:v>
      </x:c>
    </x:row>
    <x:row r="20" ht="36" customHeight="1">
      <x:c r="A20" s="93" t="str">
        <x:v>低</x:v>
      </x:c>
      <x:c r="B20" s="93" t="str">
        <x:v>跨日、跨頁不重複訪客</x:v>
      </x:c>
      <x:c r="C20" s="93" t="str">
        <x:v>更準確計算網站轉換率</x:v>
      </x:c>
      <x:c r="D20" s="93" t="str">
        <x:v>待確認</x:v>
      </x:c>
    </x:row>
  </x:sheetData>
  <x:mergeCells>
    <x:mergeCell ref="A1:D1"/>
    <x:mergeCell ref="A10:D10"/>
  </x:mergeCells>
  <x:pageMargins left="0.7" right="0.7" top="0.75" bottom="0.75" header="0.3" footer="0.3"/>
</x:worksheet>
</file>